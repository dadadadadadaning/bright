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" sheetId="1" state="visible" r:id="rId1"/>
    <sheet xmlns:r="http://schemas.openxmlformats.org/officeDocument/2006/relationships" name="表2" sheetId="2" state="visible" r:id="rId2"/>
    <sheet xmlns:r="http://schemas.openxmlformats.org/officeDocument/2006/relationships" name="表3" sheetId="3" state="visible" r:id="rId3"/>
    <sheet xmlns:r="http://schemas.openxmlformats.org/officeDocument/2006/relationships" name="表4" sheetId="4" state="visible" r:id="rId4"/>
    <sheet xmlns:r="http://schemas.openxmlformats.org/officeDocument/2006/relationships" name="表5" sheetId="5" state="visible" r:id="rId5"/>
    <sheet xmlns:r="http://schemas.openxmlformats.org/officeDocument/2006/relationships" name="表6" sheetId="6" state="visible" r:id="rId6"/>
    <sheet xmlns:r="http://schemas.openxmlformats.org/officeDocument/2006/relationships" name="补充S1_逐事件" sheetId="7" state="visible" r:id="rId7"/>
    <sheet xmlns:r="http://schemas.openxmlformats.org/officeDocument/2006/relationships" name="补充S2_配对差值" sheetId="8" state="visible" r:id="rId8"/>
    <sheet xmlns:r="http://schemas.openxmlformats.org/officeDocument/2006/relationships" name="运行登记与复用" sheetId="9" state="visible" r:id="rId9"/>
    <sheet xmlns:r="http://schemas.openxmlformats.org/officeDocument/2006/relationships" name="评价与计时约定" sheetId="10" state="visible" r:id="rId10"/>
  </sheets>
  <definedNames>
    <definedName name="_xlnm._FilterDatabase" localSheetId="0" hidden="1">'表1'!$A$1:$I$10</definedName>
    <definedName name="_xlnm._FilterDatabase" localSheetId="1" hidden="1">'表2'!$A$1:$H$10</definedName>
    <definedName name="_xlnm._FilterDatabase" localSheetId="2" hidden="1">'表3'!$A$1:$F$4</definedName>
    <definedName name="_xlnm._FilterDatabase" localSheetId="3" hidden="1">'表4'!$A$1:$G$11</definedName>
    <definedName name="_xlnm._FilterDatabase" localSheetId="4" hidden="1">'表5'!$A$1:$H$6</definedName>
    <definedName name="_xlnm._FilterDatabase" localSheetId="5" hidden="1">'表6'!$A$1:$G$7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85E89"/>
      </patternFill>
    </fill>
    <fill>
      <patternFill patternType="solid">
        <fgColor rgb="00FFF3D8"/>
      </patternFill>
    </fill>
    <fill>
      <patternFill patternType="solid">
        <fgColor rgb="00E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 ht="42" customHeight="1">
      <c r="A1" s="1" t="inlineStr">
        <is>
          <t>方法</t>
        </is>
      </c>
      <c r="B1" s="1" t="inlineStr">
        <is>
          <t>定位F₁%</t>
        </is>
      </c>
      <c r="C1" s="1" t="inlineStr">
        <is>
          <t>分类F₁%</t>
        </is>
      </c>
      <c r="D1" s="1" t="inlineStr">
        <is>
          <t>OA%</t>
        </is>
      </c>
      <c r="E1" s="1" t="inlineStr">
        <is>
          <t>四类mIoU%</t>
        </is>
      </c>
      <c r="F1" s="1" t="inlineStr">
        <is>
          <t>背景IoU%</t>
        </is>
      </c>
      <c r="G1" s="1" t="inlineStr">
        <is>
          <t>完好IoU%</t>
        </is>
      </c>
      <c r="H1" s="1" t="inlineStr">
        <is>
          <t>受损IoU%</t>
        </is>
      </c>
      <c r="I1" s="1" t="inlineStr">
        <is>
          <t>毁坏IoU%</t>
        </is>
      </c>
    </row>
    <row r="2">
      <c r="A2" s="2" t="inlineStr">
        <is>
          <t>U-Net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2" t="inlineStr">
        <is>
          <t>DeepLabV3+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2" t="inlineStr">
        <is>
          <t>SiamAttnUNet</t>
        </is>
      </c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2" t="inlineStr">
        <is>
          <t>SiamCRNN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2" t="inlineStr">
        <is>
          <t>ChangeOS</t>
        </is>
      </c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2" t="inlineStr">
        <is>
          <t>DamageFormer</t>
        </is>
      </c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2" t="inlineStr">
        <is>
          <t>ChangeMamba</t>
        </is>
      </c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2" t="inlineStr">
        <is>
          <t>多模态像素前端</t>
        </is>
      </c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2" t="inlineStr">
        <is>
          <t>完整方案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表注</t>
        </is>
      </c>
      <c r="B12" s="2" t="inlineStr">
        <is>
          <t>在相同Test划分和类别定义下比较；文献结果逐项标来源，无法保证输入/评价可比的模型移至独立列表。四类mIoU固定平均背景、完好、受损、毁坏IoU。定位F₁与分类F₁按基准脚本计算，不能从IoU反推。所有未知结果为—，不是0；本模板不迁入不同版本的历史成绩。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主要问题</t>
        </is>
      </c>
      <c r="B13" s="2" t="inlineStr">
        <is>
          <t>回答完整方案整体是否有效，以及收益集中在哪些类别。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所需文件</t>
        </is>
      </c>
      <c r="B14" s="2" t="inlineStr">
        <is>
          <t>各方法相同Test协议的result.json、4×4混淆矩阵、权重/配置来源；定位与分类评价脚本。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可复用运行</t>
        </is>
      </c>
      <c r="B15" s="2" t="inlineStr">
        <is>
          <t>external_comparators, pixel_frozen, q_soft_train</t>
        </is>
      </c>
      <c r="C15" s="2" t="n"/>
      <c r="D15" s="2" t="n"/>
      <c r="E15" s="2" t="n"/>
      <c r="F15" s="2" t="n"/>
      <c r="G15" s="2" t="n"/>
      <c r="H15" s="2" t="n"/>
      <c r="I15" s="2" t="n"/>
    </row>
  </sheetData>
  <autoFilter ref="A1:I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42" customHeight="1">
      <c r="A1" s="1" t="inlineStr">
        <is>
          <t>区域组织</t>
        </is>
      </c>
      <c r="B1" s="1" t="inlineStr">
        <is>
          <t>内容组织</t>
        </is>
      </c>
      <c r="C1" s="1" t="inlineStr">
        <is>
          <t>活跃可训练M</t>
        </is>
      </c>
      <c r="D1" s="1" t="inlineStr">
        <is>
          <t>前景mIoU%</t>
        </is>
      </c>
      <c r="E1" s="1" t="inlineStr">
        <is>
          <t>受损IoU%</t>
        </is>
      </c>
      <c r="F1" s="1" t="inlineStr">
        <is>
          <t>毁坏IoU%</t>
        </is>
      </c>
      <c r="G1" s="1" t="inlineStr">
        <is>
          <t>混合度%</t>
        </is>
      </c>
      <c r="H1" s="1" t="inlineStr">
        <is>
          <t>边缘错率%</t>
        </is>
      </c>
    </row>
    <row r="2">
      <c r="A2" s="2" t="inlineStr">
        <is>
          <t>像素基底参考</t>
        </is>
      </c>
      <c r="B2" s="2" t="inlineStr">
        <is>
          <t>冻结原始输出</t>
        </is>
      </c>
      <c r="C2" s="3" t="n"/>
      <c r="D2" s="3" t="n"/>
      <c r="E2" s="3" t="n"/>
      <c r="F2" s="3" t="n"/>
      <c r="G2" s="2" t="inlineStr">
        <is>
          <t>不适用</t>
        </is>
      </c>
      <c r="H2" s="3" t="n"/>
    </row>
    <row r="3">
      <c r="A3" s="2" t="inlineStr">
        <is>
          <t>像素头对照</t>
        </is>
      </c>
      <c r="B3" s="2" t="inlineStr">
        <is>
          <t>同预算像素头</t>
        </is>
      </c>
      <c r="C3" s="3" t="n"/>
      <c r="D3" s="3" t="n"/>
      <c r="E3" s="3" t="n"/>
      <c r="F3" s="3" t="n"/>
      <c r="G3" s="2" t="inlineStr">
        <is>
          <t>不适用</t>
        </is>
      </c>
      <c r="H3" s="3" t="n"/>
    </row>
    <row r="4">
      <c r="A4" s="2" t="inlineStr">
        <is>
          <t>规则网格</t>
        </is>
      </c>
      <c r="B4" s="2" t="inlineStr">
        <is>
          <t>单槽</t>
        </is>
      </c>
      <c r="C4" s="3" t="n"/>
      <c r="D4" s="3" t="n"/>
      <c r="E4" s="3" t="n"/>
      <c r="F4" s="3" t="n"/>
      <c r="G4" s="3" t="n"/>
      <c r="H4" s="3" t="n"/>
    </row>
    <row r="5">
      <c r="A5" s="2" t="inlineStr">
        <is>
          <t>规则网格</t>
        </is>
      </c>
      <c r="B5" s="2" t="inlineStr">
        <is>
          <t>固定空间双槽</t>
        </is>
      </c>
      <c r="C5" s="3" t="n"/>
      <c r="D5" s="3" t="n"/>
      <c r="E5" s="3" t="n"/>
      <c r="F5" s="3" t="n"/>
      <c r="G5" s="3" t="n"/>
      <c r="H5" s="3" t="n"/>
    </row>
    <row r="6">
      <c r="A6" s="2" t="inlineStr">
        <is>
          <t>规则网格</t>
        </is>
      </c>
      <c r="B6" s="2" t="inlineStr">
        <is>
          <t>建筑soft双槽</t>
        </is>
      </c>
      <c r="C6" s="3" t="n"/>
      <c r="D6" s="3" t="n"/>
      <c r="E6" s="3" t="n"/>
      <c r="F6" s="3" t="n"/>
      <c r="G6" s="3" t="n"/>
      <c r="H6" s="3" t="n"/>
    </row>
    <row r="7">
      <c r="A7" s="2" t="inlineStr">
        <is>
          <t>学习Q</t>
        </is>
      </c>
      <c r="B7" s="2" t="inlineStr">
        <is>
          <t>单槽</t>
        </is>
      </c>
      <c r="C7" s="3" t="n"/>
      <c r="D7" s="3" t="n"/>
      <c r="E7" s="3" t="n"/>
      <c r="F7" s="3" t="n"/>
      <c r="G7" s="3" t="n"/>
      <c r="H7" s="3" t="n"/>
    </row>
    <row r="8">
      <c r="A8" s="2" t="inlineStr">
        <is>
          <t>学习Q</t>
        </is>
      </c>
      <c r="B8" s="2" t="inlineStr">
        <is>
          <t>固定空间双槽</t>
        </is>
      </c>
      <c r="C8" s="3" t="n"/>
      <c r="D8" s="3" t="n"/>
      <c r="E8" s="3" t="n"/>
      <c r="F8" s="3" t="n"/>
      <c r="G8" s="3" t="n"/>
      <c r="H8" s="3" t="n"/>
    </row>
    <row r="9">
      <c r="A9" s="2" t="inlineStr">
        <is>
          <t>学习Q</t>
        </is>
      </c>
      <c r="B9" s="2" t="inlineStr">
        <is>
          <t>建筑soft双槽</t>
        </is>
      </c>
      <c r="C9" s="3" t="n"/>
      <c r="D9" s="3" t="n"/>
      <c r="E9" s="3" t="n"/>
      <c r="F9" s="3" t="n"/>
      <c r="G9" s="3" t="n"/>
      <c r="H9" s="3" t="n"/>
    </row>
    <row r="10">
      <c r="A10" s="2" t="inlineStr">
        <is>
          <t>学习Q</t>
        </is>
      </c>
      <c r="B10" s="2" t="inlineStr">
        <is>
          <t>容量匹配单槽</t>
        </is>
      </c>
      <c r="C10" s="3" t="n"/>
      <c r="D10" s="3" t="n"/>
      <c r="E10" s="3" t="n"/>
      <c r="F10" s="3" t="n"/>
      <c r="G10" s="3" t="n"/>
      <c r="H10" s="3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表注</t>
        </is>
      </c>
      <c r="B12" s="2" t="inlineStr">
        <is>
          <t>除前两行像素参考外，各区域配置统一使用图内参考，不读取Train历史案例。网格与Q保持相同名义区域数和特征分辨率；前端、Reader、损失、训练流、预算一致。容量匹配单槽报告实际使用的参数及计算量。混合度和边缘错率为GT事后诊断，不是模型输入。冻结像素基底不能替代同预算像素头。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主要问题</t>
        </is>
      </c>
      <c r="B13" s="2" t="inlineStr">
        <is>
          <t>同列跨区域比较检验Q；同一区域下单槽/空间双槽比较内容分离；空间/soft双槽比较建筑概率引导。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所需文件</t>
        </is>
      </c>
      <c r="B14" s="2" t="inlineStr">
        <is>
          <t>每组同协议Val混淆矩阵、活跃参数、真实Q/route张量、有效区域/槽质量、预测图。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可复用运行</t>
        </is>
      </c>
      <c r="B15" s="2" t="inlineStr">
        <is>
          <t>pixel_frozen, pixel_adapt, grid_single_local, grid_spatial_local, grid_soft_local, q_single_local, q_spatial_local, q_soft_local, q_single_capacity_local</t>
        </is>
      </c>
      <c r="C15" s="2" t="n"/>
      <c r="D15" s="2" t="n"/>
      <c r="E15" s="2" t="n"/>
      <c r="F15" s="2" t="n"/>
      <c r="G15" s="2" t="n"/>
      <c r="H15" s="2" t="n"/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42" customHeight="1">
      <c r="A1" s="1" t="inlineStr">
        <is>
          <t>槽组织</t>
        </is>
      </c>
      <c r="B1" s="1" t="inlineStr">
        <is>
          <t>图内参考前景mIoU%</t>
        </is>
      </c>
      <c r="C1" s="1" t="inlineStr">
        <is>
          <t>历史支持前景mIoU%</t>
        </is>
      </c>
      <c r="D1" s="1" t="inlineStr">
        <is>
          <t>历史支持增量pp</t>
        </is>
      </c>
      <c r="E1" s="1" t="inlineStr">
        <is>
          <t>历史支持受损IoU%</t>
        </is>
      </c>
      <c r="F1" s="1" t="inlineStr">
        <is>
          <t>历史支持毁坏IoU%</t>
        </is>
      </c>
    </row>
    <row r="2">
      <c r="A2" s="2" t="inlineStr">
        <is>
          <t>单槽</t>
        </is>
      </c>
      <c r="B2" s="4">
        <f>IF(ISNUMBER('表2'!D7),'表2'!D7,"")</f>
        <v/>
      </c>
      <c r="C2" s="3" t="n"/>
      <c r="D2" s="4">
        <f>IF(COUNT(B2:C2)=2,C2-B2,"")</f>
        <v/>
      </c>
      <c r="E2" s="3" t="n"/>
      <c r="F2" s="3" t="n"/>
    </row>
    <row r="3">
      <c r="A3" s="2" t="inlineStr">
        <is>
          <t>固定空间双槽</t>
        </is>
      </c>
      <c r="B3" s="4">
        <f>IF(ISNUMBER('表2'!D8),'表2'!D8,"")</f>
        <v/>
      </c>
      <c r="C3" s="3" t="n"/>
      <c r="D3" s="4">
        <f>IF(COUNT(B3:C3)=2,C3-B3,"")</f>
        <v/>
      </c>
      <c r="E3" s="3" t="n"/>
      <c r="F3" s="3" t="n"/>
    </row>
    <row r="4">
      <c r="A4" s="2" t="inlineStr">
        <is>
          <t>建筑soft双槽</t>
        </is>
      </c>
      <c r="B4" s="4">
        <f>IF(ISNUMBER('表2'!D9),'表2'!D9,"")</f>
        <v/>
      </c>
      <c r="C4" s="3" t="n"/>
      <c r="D4" s="4">
        <f>IF(COUNT(B4:C4)=2,C4-B4,"")</f>
        <v/>
      </c>
      <c r="E4" s="3" t="n"/>
      <c r="F4" s="3" t="n"/>
    </row>
    <row r="5">
      <c r="A5" s="2" t="n"/>
      <c r="B5" s="2" t="n"/>
      <c r="C5" s="2" t="n"/>
      <c r="D5" s="2" t="n"/>
      <c r="E5" s="2" t="n"/>
      <c r="F5" s="2" t="n"/>
    </row>
    <row r="6">
      <c r="A6" s="2" t="inlineStr">
        <is>
          <t>表注</t>
        </is>
      </c>
      <c r="B6" s="2" t="inlineStr">
        <is>
          <t>固定同一学习Q；图内三行结果复用表2同一运行和同一检查点。历史支持来自合法Train成员，父Top-K及有效掩膜规则相同；分槽比较固定父案例ID。增量=历史支持−图内参考。图内预测标签与Train真值软标签的差异是案例证据整体变化，标签质量由表4另查。</t>
        </is>
      </c>
      <c r="C6" s="2" t="n"/>
      <c r="D6" s="2" t="n"/>
      <c r="E6" s="2" t="n"/>
      <c r="F6" s="2" t="n"/>
    </row>
    <row r="7">
      <c r="A7" s="2" t="inlineStr">
        <is>
          <t>主要问题</t>
        </is>
      </c>
      <c r="B7" s="2" t="inlineStr">
        <is>
          <t>检验历史支持在各种槽组织下的额外作用，以及soft与历史支持的交互。</t>
        </is>
      </c>
      <c r="C7" s="2" t="n"/>
      <c r="D7" s="2" t="n"/>
      <c r="E7" s="2" t="n"/>
      <c r="F7" s="2" t="n"/>
    </row>
    <row r="8">
      <c r="A8" s="2" t="inlineStr">
        <is>
          <t>所需文件</t>
        </is>
      </c>
      <c r="B8" s="2" t="inlineStr">
        <is>
          <t>学习Q的六个配对配置result、父案例ID与顺序、槽有效掩膜、标签来源、相同检查点选择规则。</t>
        </is>
      </c>
      <c r="C8" s="2" t="n"/>
      <c r="D8" s="2" t="n"/>
      <c r="E8" s="2" t="n"/>
      <c r="F8" s="2" t="n"/>
    </row>
    <row r="9">
      <c r="A9" s="2" t="inlineStr">
        <is>
          <t>可复用运行</t>
        </is>
      </c>
      <c r="B9" s="2" t="inlineStr">
        <is>
          <t>q_single_local, q_single_train, q_spatial_local, q_spatial_train, q_soft_local, q_soft_train</t>
        </is>
      </c>
      <c r="C9" s="2" t="n"/>
      <c r="D9" s="2" t="n"/>
      <c r="E9" s="2" t="n"/>
      <c r="F9" s="2" t="n"/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 ht="42" customHeight="1">
      <c r="A1" s="1" t="inlineStr">
        <is>
          <t>实验类型</t>
        </is>
      </c>
      <c r="B1" s="1" t="inlineStr">
        <is>
          <t>配置/操作</t>
        </is>
      </c>
      <c r="C1" s="1" t="inlineStr">
        <is>
          <t>支持ID</t>
        </is>
      </c>
      <c r="D1" s="1" t="inlineStr">
        <is>
          <t>标签输入</t>
        </is>
      </c>
      <c r="E1" s="1" t="inlineStr">
        <is>
          <t>前景mIoU%</t>
        </is>
      </c>
      <c r="F1" s="1" t="inlineStr">
        <is>
          <t>受损IoU%</t>
        </is>
      </c>
      <c r="G1" s="1" t="inlineStr">
        <is>
          <t>毁坏IoU%</t>
        </is>
      </c>
    </row>
    <row r="2">
      <c r="A2" s="2" t="inlineStr">
        <is>
          <t>匹配重训</t>
        </is>
      </c>
      <c r="B2" s="2" t="inlineStr">
        <is>
          <t>图内参考</t>
        </is>
      </c>
      <c r="C2" s="2" t="inlineStr">
        <is>
          <t>图内邻居</t>
        </is>
      </c>
      <c r="D2" s="2" t="inlineStr">
        <is>
          <t>预测软标签</t>
        </is>
      </c>
      <c r="E2" s="4">
        <f>IF(ISNUMBER('表2'!D9),'表2'!D9,"")</f>
        <v/>
      </c>
      <c r="F2" s="4">
        <f>IF(ISNUMBER('表2'!E9),'表2'!E9,"")</f>
        <v/>
      </c>
      <c r="G2" s="4">
        <f>IF(ISNUMBER('表2'!F9),'表2'!F9,"")</f>
        <v/>
      </c>
    </row>
    <row r="3">
      <c r="A3" s="2" t="inlineStr">
        <is>
          <t>匹配重训</t>
        </is>
      </c>
      <c r="B3" s="2" t="inlineStr">
        <is>
          <t>参数化支持</t>
        </is>
      </c>
      <c r="C3" s="2" t="inlineStr">
        <is>
          <t>可学习向量</t>
        </is>
      </c>
      <c r="D3" s="2" t="inlineStr">
        <is>
          <t>明确实现</t>
        </is>
      </c>
      <c r="E3" s="3" t="n"/>
      <c r="F3" s="3" t="n"/>
      <c r="G3" s="3" t="n"/>
    </row>
    <row r="4">
      <c r="A4" s="2" t="inlineStr">
        <is>
          <t>匹配重训</t>
        </is>
      </c>
      <c r="B4" s="2" t="inlineStr">
        <is>
          <t>随机Train案例</t>
        </is>
      </c>
      <c r="C4" s="2" t="inlineStr">
        <is>
          <t>随机合法ID</t>
        </is>
      </c>
      <c r="D4" s="2" t="inlineStr">
        <is>
          <t>Train真值软标签</t>
        </is>
      </c>
      <c r="E4" s="3" t="n"/>
      <c r="F4" s="3" t="n"/>
      <c r="G4" s="3" t="n"/>
    </row>
    <row r="5">
      <c r="A5" s="2" t="inlineStr">
        <is>
          <t>匹配重训</t>
        </is>
      </c>
      <c r="B5" s="2" t="inlineStr">
        <is>
          <t>检索Train案例</t>
        </is>
      </c>
      <c r="C5" s="2" t="inlineStr">
        <is>
          <t>检索合法ID</t>
        </is>
      </c>
      <c r="D5" s="2" t="inlineStr">
        <is>
          <t>Train真值软标签</t>
        </is>
      </c>
      <c r="E5" s="4">
        <f>IF(ISNUMBER('表3'!C4),'表3'!C4,"")</f>
        <v/>
      </c>
      <c r="F5" s="4">
        <f>IF(ISNUMBER('表3'!E4),'表3'!E4,"")</f>
        <v/>
      </c>
      <c r="G5" s="4">
        <f>IF(ISNUMBER('表3'!F4),'表3'!F4,"")</f>
        <v/>
      </c>
    </row>
    <row r="6">
      <c r="A6" s="2" t="inlineStr">
        <is>
          <t>匹配重训</t>
        </is>
      </c>
      <c r="B6" s="2" t="inlineStr">
        <is>
          <t>移除标签通道</t>
        </is>
      </c>
      <c r="C6" s="2" t="inlineStr">
        <is>
          <t>固定检索ID</t>
        </is>
      </c>
      <c r="D6" s="2" t="inlineStr">
        <is>
          <t>无标签输入</t>
        </is>
      </c>
      <c r="E6" s="3" t="n"/>
      <c r="F6" s="3" t="n"/>
      <c r="G6" s="3" t="n"/>
    </row>
    <row r="7">
      <c r="A7" s="2" t="inlineStr">
        <is>
          <t>匹配重训</t>
        </is>
      </c>
      <c r="B7" s="2" t="inlineStr">
        <is>
          <t>替换预测标签</t>
        </is>
      </c>
      <c r="C7" s="2" t="inlineStr">
        <is>
          <t>固定检索ID</t>
        </is>
      </c>
      <c r="D7" s="2" t="inlineStr">
        <is>
          <t>同源模型预测</t>
        </is>
      </c>
      <c r="E7" s="3" t="n"/>
      <c r="F7" s="3" t="n"/>
      <c r="G7" s="3" t="n"/>
    </row>
    <row r="8">
      <c r="A8" s="2" t="inlineStr">
        <is>
          <t>固定权重</t>
        </is>
      </c>
      <c r="B8" s="2" t="inlineStr">
        <is>
          <t>正常支持</t>
        </is>
      </c>
      <c r="C8" s="2" t="inlineStr">
        <is>
          <t>原检索ID</t>
        </is>
      </c>
      <c r="D8" s="2" t="inlineStr">
        <is>
          <t>原标签</t>
        </is>
      </c>
      <c r="E8" s="4">
        <f>IF(ISNUMBER(E5),E5,"")</f>
        <v/>
      </c>
      <c r="F8" s="4">
        <f>IF(ISNUMBER(F5),F5,"")</f>
        <v/>
      </c>
      <c r="G8" s="4">
        <f>IF(ISNUMBER(G5),G5,"")</f>
        <v/>
      </c>
    </row>
    <row r="9">
      <c r="A9" s="2" t="inlineStr">
        <is>
          <t>固定权重</t>
        </is>
      </c>
      <c r="B9" s="2" t="inlineStr">
        <is>
          <t>随机替换ID</t>
        </is>
      </c>
      <c r="C9" s="2" t="inlineStr">
        <is>
          <t>随机合法ID</t>
        </is>
      </c>
      <c r="D9" s="2" t="inlineStr">
        <is>
          <t>相应案例标签</t>
        </is>
      </c>
      <c r="E9" s="3" t="n"/>
      <c r="F9" s="3" t="n"/>
      <c r="G9" s="3" t="n"/>
    </row>
    <row r="10">
      <c r="A10" s="2" t="inlineStr">
        <is>
          <t>固定权重</t>
        </is>
      </c>
      <c r="B10" s="2" t="inlineStr">
        <is>
          <t>打乱特征/标签对应</t>
        </is>
      </c>
      <c r="C10" s="2" t="inlineStr">
        <is>
          <t>原检索ID</t>
        </is>
      </c>
      <c r="D10" s="2" t="inlineStr">
        <is>
          <t>打乱配对</t>
        </is>
      </c>
      <c r="E10" s="3" t="n"/>
      <c r="F10" s="3" t="n"/>
      <c r="G10" s="3" t="n"/>
    </row>
    <row r="11">
      <c r="A11" s="2" t="inlineStr">
        <is>
          <t>固定权重</t>
        </is>
      </c>
      <c r="B11" s="2" t="inlineStr">
        <is>
          <t>关闭支持</t>
        </is>
      </c>
      <c r="C11" s="2" t="inlineStr">
        <is>
          <t>原接口掩蔽</t>
        </is>
      </c>
      <c r="D11" s="2" t="inlineStr">
        <is>
          <t>有效性掩蔽</t>
        </is>
      </c>
      <c r="E11" s="3" t="n"/>
      <c r="F11" s="3" t="n"/>
      <c r="G11" s="3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inlineStr">
        <is>
          <t>表注</t>
        </is>
      </c>
      <c r="B13" s="2" t="inlineStr">
        <is>
          <t>上半部分独立匹配重训，评价信息增量；下半部分使用同一个完整方案检查点，只改变支持输入，评价依赖与脆弱性。两类不混为同一种贡献。随机支持遵守相同排除规则和父数量；固定权重强干预可能产生分布外输入。只有方法实际包含学习检索时才另加相应行。</t>
        </is>
      </c>
      <c r="C13" s="2" t="n"/>
      <c r="D13" s="2" t="n"/>
      <c r="E13" s="2" t="n"/>
      <c r="F13" s="2" t="n"/>
      <c r="G13" s="2" t="n"/>
    </row>
    <row r="14">
      <c r="A14" s="2" t="inlineStr">
        <is>
          <t>主要问题</t>
        </is>
      </c>
      <c r="B14" s="2" t="inlineStr">
        <is>
          <t>检验案例选择及标签证据的作用；案例特征包含于整体支持包，本表不独立分离视觉特征贡献。</t>
        </is>
      </c>
      <c r="C14" s="2" t="n"/>
      <c r="D14" s="2" t="n"/>
      <c r="E14" s="2" t="n"/>
      <c r="F14" s="2" t="n"/>
      <c r="G14" s="2" t="n"/>
    </row>
    <row r="15">
      <c r="A15" s="2" t="inlineStr">
        <is>
          <t>所需文件</t>
        </is>
      </c>
      <c r="B15" s="2" t="inlineStr">
        <is>
          <t>匹配重训结果；同一Reader SHA；查询—支持ID、相似度、四类软标签、随机抽样seed和干预规则；配对预测。</t>
        </is>
      </c>
      <c r="C15" s="2" t="n"/>
      <c r="D15" s="2" t="n"/>
      <c r="E15" s="2" t="n"/>
      <c r="F15" s="2" t="n"/>
      <c r="G15" s="2" t="n"/>
    </row>
    <row r="16">
      <c r="A16" s="2" t="inlineStr">
        <is>
          <t>可复用运行</t>
        </is>
      </c>
      <c r="B16" s="2" t="inlineStr">
        <is>
          <t>q_soft_local, q_soft_parametric, q_soft_random_train, q_soft_train, q_soft_no_label_train, q_soft_pred_label_train, interventions</t>
        </is>
      </c>
      <c r="C16" s="2" t="n"/>
      <c r="D16" s="2" t="n"/>
      <c r="E16" s="2" t="n"/>
      <c r="F16" s="2" t="n"/>
      <c r="G16" s="2" t="n"/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42" customHeight="1">
      <c r="A1" s="1" t="inlineStr">
        <is>
          <t>配置</t>
        </is>
      </c>
      <c r="B1" s="1" t="inlineStr">
        <is>
          <t>配对参照</t>
        </is>
      </c>
      <c r="C1" s="1" t="inlineStr">
        <is>
          <t>种子一前景mIoU%</t>
        </is>
      </c>
      <c r="D1" s="1" t="inlineStr">
        <is>
          <t>种子二前景mIoU%</t>
        </is>
      </c>
      <c r="E1" s="1" t="inlineStr">
        <is>
          <t>种子三前景mIoU%</t>
        </is>
      </c>
      <c r="F1" s="1" t="inlineStr">
        <is>
          <t>均值±样本SD%</t>
        </is>
      </c>
      <c r="G1" s="1" t="inlineStr">
        <is>
          <t>事件宏平均%</t>
        </is>
      </c>
      <c r="H1" s="1" t="inlineStr">
        <is>
          <t>提高/下降事件数</t>
        </is>
      </c>
    </row>
    <row r="2">
      <c r="A2" s="2" t="inlineStr">
        <is>
          <t>同预算像素头</t>
        </is>
      </c>
      <c r="B2" s="2" t="inlineStr">
        <is>
          <t>冻结像素基底</t>
        </is>
      </c>
      <c r="C2" s="3" t="n"/>
      <c r="D2" s="3" t="n"/>
      <c r="E2" s="3" t="n"/>
      <c r="F2" s="4">
        <f>IF(COUNT(C2:E2)=3,TEXT(AVERAGE(C2:E2),"0.0000")&amp;" ± "&amp;TEXT(STDEV(C2:E2),"0.0000"),"")</f>
        <v/>
      </c>
      <c r="G2" s="3" t="n"/>
      <c r="H2" s="3" t="n"/>
    </row>
    <row r="3">
      <c r="A3" s="2" t="inlineStr">
        <is>
          <t>Q＋单槽＋图内</t>
        </is>
      </c>
      <c r="B3" s="2" t="inlineStr">
        <is>
          <t>同预算像素头</t>
        </is>
      </c>
      <c r="C3" s="3" t="n"/>
      <c r="D3" s="3" t="n"/>
      <c r="E3" s="3" t="n"/>
      <c r="F3" s="4">
        <f>IF(COUNT(C3:E3)=3,TEXT(AVERAGE(C3:E3),"0.0000")&amp;" ± "&amp;TEXT(STDEV(C3:E3),"0.0000"),"")</f>
        <v/>
      </c>
      <c r="G3" s="3" t="n"/>
      <c r="H3" s="3" t="n"/>
    </row>
    <row r="4">
      <c r="A4" s="2" t="inlineStr">
        <is>
          <t>Q＋soft双槽＋图内</t>
        </is>
      </c>
      <c r="B4" s="2" t="inlineStr">
        <is>
          <t>Q＋单槽＋图内</t>
        </is>
      </c>
      <c r="C4" s="3" t="n"/>
      <c r="D4" s="3" t="n"/>
      <c r="E4" s="3" t="n"/>
      <c r="F4" s="4">
        <f>IF(COUNT(C4:E4)=3,TEXT(AVERAGE(C4:E4),"0.0000")&amp;" ± "&amp;TEXT(STDEV(C4:E4),"0.0000"),"")</f>
        <v/>
      </c>
      <c r="G4" s="3" t="n"/>
      <c r="H4" s="3" t="n"/>
    </row>
    <row r="5">
      <c r="A5" s="2" t="inlineStr">
        <is>
          <t>Q＋单槽＋历史</t>
        </is>
      </c>
      <c r="B5" s="2" t="inlineStr">
        <is>
          <t>Q＋单槽＋图内</t>
        </is>
      </c>
      <c r="C5" s="3" t="n"/>
      <c r="D5" s="3" t="n"/>
      <c r="E5" s="3" t="n"/>
      <c r="F5" s="4">
        <f>IF(COUNT(C5:E5)=3,TEXT(AVERAGE(C5:E5),"0.0000")&amp;" ± "&amp;TEXT(STDEV(C5:E5),"0.0000"),"")</f>
        <v/>
      </c>
      <c r="G5" s="3" t="n"/>
      <c r="H5" s="3" t="n"/>
    </row>
    <row r="6">
      <c r="A6" s="2" t="inlineStr">
        <is>
          <t>Q＋soft双槽＋历史</t>
        </is>
      </c>
      <c r="B6" s="2" t="inlineStr">
        <is>
          <t>Q＋soft双槽＋图内</t>
        </is>
      </c>
      <c r="C6" s="3" t="n"/>
      <c r="D6" s="3" t="n"/>
      <c r="E6" s="3" t="n"/>
      <c r="F6" s="4">
        <f>IF(COUNT(C6:E6)=3,TEXT(AVERAGE(C6:E6),"0.0000")&amp;" ± "&amp;TEXT(STDEV(C6:E6),"0.0000"),"")</f>
        <v/>
      </c>
      <c r="G6" s="3" t="n"/>
      <c r="H6" s="3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表注</t>
        </is>
      </c>
      <c r="B8" s="2" t="inlineStr">
        <is>
          <t>种子ID预先登记，比较配置使用同种子/相同图像流。均值±SD来自独立重复训练，不是单次曲线波动。每个事件先按各种子内部累计混淆矩阵计算前景mIoU，再跨预定种子取算术平均；事件宏平均为全部事件等权平均。提高/下降按本行“配对参照”的同种子事件差值平均后计数，按未四舍五入的配对均值差以0为界计数，精确零差另记持平；计数不表示统计显著。类别与缺类规则先固定。全部事件明细见补充表S1，不能与全划分累计mIoU混用。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主要问题</t>
        </is>
      </c>
      <c r="B9" s="2" t="inlineStr">
        <is>
          <t>检查结果是否可重复，以及是否由少数事件贡献。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所需文件</t>
        </is>
      </c>
      <c r="B10" s="2" t="inlineStr">
        <is>
          <t>至少三组预定种子的result和配对差值；全部事件内混淆矩阵、事件图像数、评价范围。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可复用运行</t>
        </is>
      </c>
      <c r="B11" s="2" t="inlineStr">
        <is>
          <t>pixel_frozen, pixel_adapt, q_single_local, q_soft_local, q_single_train, q_soft_train</t>
        </is>
      </c>
      <c r="C11" s="2" t="n"/>
      <c r="D11" s="2" t="n"/>
      <c r="E11" s="2" t="n"/>
      <c r="F11" s="2" t="n"/>
      <c r="G11" s="2" t="n"/>
      <c r="H11" s="2" t="n"/>
    </row>
  </sheetData>
  <autoFilter ref="A1:H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 ht="42" customHeight="1">
      <c r="A1" s="1" t="inlineStr">
        <is>
          <t>配置</t>
        </is>
      </c>
      <c r="B1" s="1" t="inlineStr">
        <is>
          <t>总参数M</t>
        </is>
      </c>
      <c r="C1" s="1" t="inlineStr">
        <is>
          <t>可训练参数M</t>
        </is>
      </c>
      <c r="D1" s="1" t="inlineStr">
        <is>
          <t>库大小MiB</t>
        </is>
      </c>
      <c r="E1" s="1" t="inlineStr">
        <is>
          <t>建库时间h</t>
        </is>
      </c>
      <c r="F1" s="1" t="inlineStr">
        <is>
          <t>端到端延迟ms</t>
        </is>
      </c>
      <c r="G1" s="1" t="inlineStr">
        <is>
          <t>峰值显存GiB</t>
        </is>
      </c>
    </row>
    <row r="2">
      <c r="A2" s="2" t="inlineStr">
        <is>
          <t>冻结像素前端</t>
        </is>
      </c>
      <c r="B2" s="3" t="n"/>
      <c r="C2" s="3" t="n"/>
      <c r="D2" s="3" t="n"/>
      <c r="E2" s="3" t="n"/>
      <c r="F2" s="3" t="n"/>
      <c r="G2" s="3" t="n"/>
    </row>
    <row r="3">
      <c r="A3" s="2" t="inlineStr">
        <is>
          <t>同预算像素头</t>
        </is>
      </c>
      <c r="B3" s="3" t="n"/>
      <c r="C3" s="3" t="n"/>
      <c r="D3" s="3" t="n"/>
      <c r="E3" s="3" t="n"/>
      <c r="F3" s="3" t="n"/>
      <c r="G3" s="3" t="n"/>
    </row>
    <row r="4">
      <c r="A4" s="2" t="inlineStr">
        <is>
          <t>Q＋单槽＋图内</t>
        </is>
      </c>
      <c r="B4" s="3" t="n"/>
      <c r="C4" s="3" t="n"/>
      <c r="D4" s="3" t="n"/>
      <c r="E4" s="3" t="n"/>
      <c r="F4" s="3" t="n"/>
      <c r="G4" s="3" t="n"/>
    </row>
    <row r="5">
      <c r="A5" s="2" t="inlineStr">
        <is>
          <t>Q＋soft双槽＋图内</t>
        </is>
      </c>
      <c r="B5" s="3" t="n"/>
      <c r="C5" s="3" t="n"/>
      <c r="D5" s="3" t="n"/>
      <c r="E5" s="3" t="n"/>
      <c r="F5" s="3" t="n"/>
      <c r="G5" s="3" t="n"/>
    </row>
    <row r="6">
      <c r="A6" s="2" t="inlineStr">
        <is>
          <t>Q＋单槽＋历史</t>
        </is>
      </c>
      <c r="B6" s="3" t="n"/>
      <c r="C6" s="3" t="n"/>
      <c r="D6" s="3" t="n"/>
      <c r="E6" s="3" t="n"/>
      <c r="F6" s="3" t="n"/>
      <c r="G6" s="3" t="n"/>
    </row>
    <row r="7">
      <c r="A7" s="2" t="inlineStr">
        <is>
          <t>Q＋soft双槽＋历史</t>
        </is>
      </c>
      <c r="B7" s="3" t="n"/>
      <c r="C7" s="3" t="n"/>
      <c r="D7" s="3" t="n"/>
      <c r="E7" s="3" t="n"/>
      <c r="F7" s="3" t="n"/>
      <c r="G7" s="3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inlineStr">
        <is>
          <t>表注</t>
        </is>
      </c>
      <c r="B9" s="2" t="inlineStr">
        <is>
          <t>无支持库的库大小/建库时间填“不适用”，不要填成测得0。硬件、线程、精度、batch、图像尺寸、预热和重复次数统一登记；CUDA计时同步。离线成本单独列出；端到端包含前端、查询准备、检索、Reader和解码，并明确I/O范围。</t>
        </is>
      </c>
      <c r="C9" s="2" t="n"/>
      <c r="D9" s="2" t="n"/>
      <c r="E9" s="2" t="n"/>
      <c r="F9" s="2" t="n"/>
      <c r="G9" s="2" t="n"/>
    </row>
    <row r="10">
      <c r="A10" s="2" t="inlineStr">
        <is>
          <t>主要问题</t>
        </is>
      </c>
      <c r="B10" s="2" t="inlineStr">
        <is>
          <t>说明性能变化的存储、计算与部署代价，核对容量公平性。</t>
        </is>
      </c>
      <c r="C10" s="2" t="n"/>
      <c r="D10" s="2" t="n"/>
      <c r="E10" s="2" t="n"/>
      <c r="F10" s="2" t="n"/>
      <c r="G10" s="2" t="n"/>
    </row>
    <row r="11">
      <c r="A11" s="2" t="inlineStr">
        <is>
          <t>所需文件</t>
        </is>
      </c>
      <c r="B11" s="2" t="inlineStr">
        <is>
          <t>硬件/软件/精度说明；逐次同步计时样本；峰值显存；参数计数及支持库文件大小。</t>
        </is>
      </c>
      <c r="C11" s="2" t="n"/>
      <c r="D11" s="2" t="n"/>
      <c r="E11" s="2" t="n"/>
      <c r="F11" s="2" t="n"/>
      <c r="G11" s="2" t="n"/>
    </row>
    <row r="12">
      <c r="A12" s="2" t="inlineStr">
        <is>
          <t>可复用运行</t>
        </is>
      </c>
      <c r="B12" s="2" t="inlineStr">
        <is>
          <t>pixel_frozen, pixel_adapt, q_single_local, q_soft_local, q_single_train, q_soft_train</t>
        </is>
      </c>
      <c r="C12" s="2" t="n"/>
      <c r="D12" s="2" t="n"/>
      <c r="E12" s="2" t="n"/>
      <c r="F12" s="2" t="n"/>
      <c r="G12" s="2" t="n"/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</cols>
  <sheetData>
    <row r="1">
      <c r="A1" s="5" t="inlineStr">
        <is>
          <t>事件</t>
        </is>
      </c>
      <c r="B1" s="5" t="inlineStr">
        <is>
          <t>图像数</t>
        </is>
      </c>
      <c r="C1" s="5" t="inlineStr">
        <is>
          <t>图内跨种子均值%</t>
        </is>
      </c>
      <c r="D1" s="5" t="inlineStr">
        <is>
          <t>历史跨种子均值%</t>
        </is>
      </c>
      <c r="E1" s="5" t="inlineStr">
        <is>
          <t>配对均值增量pp</t>
        </is>
      </c>
      <c r="F1" s="5" t="inlineStr">
        <is>
          <t>评价类别与缺类规则</t>
        </is>
      </c>
    </row>
    <row r="2">
      <c r="A2" s="2" t="inlineStr">
        <is>
          <t>事件名称待填_1</t>
        </is>
      </c>
      <c r="B2" s="2" t="n"/>
      <c r="C2" s="2" t="n"/>
      <c r="D2" s="2" t="n"/>
      <c r="E2" s="2">
        <f>IF(COUNT(C2:D2)=2,D2-C2,"")</f>
        <v/>
      </c>
      <c r="F2" s="2" t="n"/>
    </row>
    <row r="3">
      <c r="A3" s="2" t="inlineStr">
        <is>
          <t>事件名称待填_2</t>
        </is>
      </c>
      <c r="B3" s="2" t="n"/>
      <c r="C3" s="2" t="n"/>
      <c r="D3" s="2" t="n"/>
      <c r="E3" s="2">
        <f>IF(COUNT(C3:D3)=2,D3-C3,"")</f>
        <v/>
      </c>
      <c r="F3" s="2" t="n"/>
    </row>
    <row r="4">
      <c r="A4" s="2" t="inlineStr">
        <is>
          <t>事件名称待填_3</t>
        </is>
      </c>
      <c r="B4" s="2" t="n"/>
      <c r="C4" s="2" t="n"/>
      <c r="D4" s="2" t="n"/>
      <c r="E4" s="2">
        <f>IF(COUNT(C4:D4)=2,D4-C4,"")</f>
        <v/>
      </c>
      <c r="F4" s="2" t="n"/>
    </row>
    <row r="5">
      <c r="A5" s="2" t="inlineStr">
        <is>
          <t>事件名称待填_4</t>
        </is>
      </c>
      <c r="B5" s="2" t="n"/>
      <c r="C5" s="2" t="n"/>
      <c r="D5" s="2" t="n"/>
      <c r="E5" s="2">
        <f>IF(COUNT(C5:D5)=2,D5-C5,"")</f>
        <v/>
      </c>
      <c r="F5" s="2" t="n"/>
    </row>
    <row r="6">
      <c r="A6" s="2" t="inlineStr">
        <is>
          <t>事件名称待填_5</t>
        </is>
      </c>
      <c r="B6" s="2" t="n"/>
      <c r="C6" s="2" t="n"/>
      <c r="D6" s="2" t="n"/>
      <c r="E6" s="2">
        <f>IF(COUNT(C6:D6)=2,D6-C6,"")</f>
        <v/>
      </c>
      <c r="F6" s="2" t="n"/>
    </row>
    <row r="7">
      <c r="A7" s="2" t="inlineStr">
        <is>
          <t>事件名称待填_6</t>
        </is>
      </c>
      <c r="B7" s="2" t="n"/>
      <c r="C7" s="2" t="n"/>
      <c r="D7" s="2" t="n"/>
      <c r="E7" s="2">
        <f>IF(COUNT(C7:D7)=2,D7-C7,"")</f>
        <v/>
      </c>
      <c r="F7" s="2" t="n"/>
    </row>
    <row r="8">
      <c r="A8" s="2" t="inlineStr">
        <is>
          <t>事件名称待填_7</t>
        </is>
      </c>
      <c r="B8" s="2" t="n"/>
      <c r="C8" s="2" t="n"/>
      <c r="D8" s="2" t="n"/>
      <c r="E8" s="2">
        <f>IF(COUNT(C8:D8)=2,D8-C8,"")</f>
        <v/>
      </c>
      <c r="F8" s="2" t="n"/>
    </row>
    <row r="9">
      <c r="A9" s="2" t="inlineStr">
        <is>
          <t>事件名称待填_8</t>
        </is>
      </c>
      <c r="B9" s="2" t="n"/>
      <c r="C9" s="2" t="n"/>
      <c r="D9" s="2" t="n"/>
      <c r="E9" s="2">
        <f>IF(COUNT(C9:D9)=2,D9-C9,"")</f>
        <v/>
      </c>
      <c r="F9" s="2" t="n"/>
    </row>
    <row r="10">
      <c r="A10" s="2" t="inlineStr">
        <is>
          <t>事件名称待填_9</t>
        </is>
      </c>
      <c r="B10" s="2" t="n"/>
      <c r="C10" s="2" t="n"/>
      <c r="D10" s="2" t="n"/>
      <c r="E10" s="2">
        <f>IF(COUNT(C10:D10)=2,D10-C10,"")</f>
        <v/>
      </c>
      <c r="F10" s="2" t="n"/>
    </row>
    <row r="11">
      <c r="A11" s="2" t="inlineStr">
        <is>
          <t>事件名称待填_10</t>
        </is>
      </c>
      <c r="B11" s="2" t="n"/>
      <c r="C11" s="2" t="n"/>
      <c r="D11" s="2" t="n"/>
      <c r="E11" s="2">
        <f>IF(COUNT(C11:D11)=2,D11-C11,"")</f>
        <v/>
      </c>
      <c r="F11" s="2" t="n"/>
    </row>
    <row r="12">
      <c r="A12" s="2" t="inlineStr">
        <is>
          <t>事件名称待填_11</t>
        </is>
      </c>
      <c r="B12" s="2" t="n"/>
      <c r="C12" s="2" t="n"/>
      <c r="D12" s="2" t="n"/>
      <c r="E12" s="2">
        <f>IF(COUNT(C12:D12)=2,D12-C12,"")</f>
        <v/>
      </c>
      <c r="F12" s="2" t="n"/>
    </row>
    <row r="13">
      <c r="A13" s="2" t="inlineStr">
        <is>
          <t>事件名称待填_12</t>
        </is>
      </c>
      <c r="B13" s="2" t="n"/>
      <c r="C13" s="2" t="n"/>
      <c r="D13" s="2" t="n"/>
      <c r="E13" s="2">
        <f>IF(COUNT(C13:D13)=2,D13-C13,"")</f>
        <v/>
      </c>
      <c r="F13" s="2" t="n"/>
    </row>
    <row r="14">
      <c r="A14" s="2" t="inlineStr">
        <is>
          <t>事件名称待填_13</t>
        </is>
      </c>
      <c r="B14" s="2" t="n"/>
      <c r="C14" s="2" t="n"/>
      <c r="D14" s="2" t="n"/>
      <c r="E14" s="2">
        <f>IF(COUNT(C14:D14)=2,D14-C14,"")</f>
        <v/>
      </c>
      <c r="F14" s="2" t="n"/>
    </row>
    <row r="15">
      <c r="A15" s="2" t="inlineStr">
        <is>
          <t>事件名称待填_14</t>
        </is>
      </c>
      <c r="B15" s="2" t="n"/>
      <c r="C15" s="2" t="n"/>
      <c r="D15" s="2" t="n"/>
      <c r="E15" s="2">
        <f>IF(COUNT(C15:D15)=2,D15-C15,"")</f>
        <v/>
      </c>
      <c r="F15" s="2" t="n"/>
    </row>
    <row r="16">
      <c r="A16" s="2" t="inlineStr">
        <is>
          <t>事件等权平均</t>
        </is>
      </c>
      <c r="B16" s="2" t="n"/>
      <c r="C16" s="2">
        <f>IF(COUNT(C2:C15)=14,AVERAGE(C2:C15),"")</f>
        <v/>
      </c>
      <c r="D16" s="2">
        <f>IF(COUNT(D2:D15)=14,AVERAGE(D2:D15),"")</f>
        <v/>
      </c>
      <c r="E16" s="2">
        <f>IF(COUNT(E2:E15)=14,AVERAGE(E2:E15),"")</f>
        <v/>
      </c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inlineStr">
        <is>
          <t>口径</t>
        </is>
      </c>
      <c r="B18" s="2" t="inlineStr">
        <is>
          <t>先种子内算事件mIoU，再跨种子平均；按实际事件名单调整行数与平均公式范围。</t>
        </is>
      </c>
      <c r="C18" s="2" t="n"/>
      <c r="D18" s="2" t="n"/>
      <c r="E18" s="2" t="n"/>
      <c r="F18" s="2" t="n"/>
    </row>
    <row r="19">
      <c r="A19" s="2" t="inlineStr">
        <is>
          <t>配置/参照/种子集合</t>
        </is>
      </c>
      <c r="B19" s="2" t="inlineStr">
        <is>
          <t>待填，与表5同一行的配对参照一致。</t>
        </is>
      </c>
      <c r="C19" s="2" t="n"/>
      <c r="D19" s="2" t="n"/>
      <c r="E19" s="2" t="n"/>
      <c r="F19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</cols>
  <sheetData>
    <row r="1">
      <c r="A1" s="5" t="inlineStr">
        <is>
          <t>配置</t>
        </is>
      </c>
      <c r="B1" s="5" t="inlineStr">
        <is>
          <t>配对种子ID</t>
        </is>
      </c>
      <c r="C1" s="5" t="inlineStr">
        <is>
          <t>图内前景mIoU%</t>
        </is>
      </c>
      <c r="D1" s="5" t="inlineStr">
        <is>
          <t>历史前景mIoU%</t>
        </is>
      </c>
      <c r="E1" s="5" t="inlineStr">
        <is>
          <t>增量pp</t>
        </is>
      </c>
    </row>
    <row r="2">
      <c r="A2" s="2" t="n"/>
      <c r="B2" s="2" t="n"/>
      <c r="C2" s="2" t="n"/>
      <c r="D2" s="2" t="n"/>
      <c r="E2" s="2">
        <f>IF(COUNT(C2:D2)=2,D2-C2,"")</f>
        <v/>
      </c>
    </row>
    <row r="3">
      <c r="A3" s="2" t="n"/>
      <c r="B3" s="2" t="n"/>
      <c r="C3" s="2" t="n"/>
      <c r="D3" s="2" t="n"/>
      <c r="E3" s="2">
        <f>IF(COUNT(C3:D3)=2,D3-C3,"")</f>
        <v/>
      </c>
    </row>
    <row r="4">
      <c r="A4" s="2" t="n"/>
      <c r="B4" s="2" t="n"/>
      <c r="C4" s="2" t="n"/>
      <c r="D4" s="2" t="n"/>
      <c r="E4" s="2">
        <f>IF(COUNT(C4:D4)=2,D4-C4,"")</f>
        <v/>
      </c>
    </row>
    <row r="5">
      <c r="A5" s="2" t="n"/>
      <c r="B5" s="2" t="n"/>
      <c r="C5" s="2" t="n"/>
      <c r="D5" s="2" t="n"/>
      <c r="E5" s="2">
        <f>IF(COUNT(C5:D5)=2,D5-C5,"")</f>
        <v/>
      </c>
    </row>
    <row r="6">
      <c r="A6" s="2" t="n"/>
      <c r="B6" s="2" t="n"/>
      <c r="C6" s="2" t="n"/>
      <c r="D6" s="2" t="n"/>
      <c r="E6" s="2">
        <f>IF(COUNT(C6:D6)=2,D6-C6,"")</f>
        <v/>
      </c>
    </row>
    <row r="7">
      <c r="A7" s="2" t="n"/>
      <c r="B7" s="2" t="n"/>
      <c r="C7" s="2" t="n"/>
      <c r="D7" s="2" t="n"/>
      <c r="E7" s="2">
        <f>IF(COUNT(C7:D7)=2,D7-C7,"")</f>
        <v/>
      </c>
    </row>
    <row r="8">
      <c r="A8" s="2" t="n"/>
      <c r="B8" s="2" t="n"/>
      <c r="C8" s="2" t="n"/>
      <c r="D8" s="2" t="n"/>
      <c r="E8" s="2">
        <f>IF(COUNT(C8:D8)=2,D8-C8,"")</f>
        <v/>
      </c>
    </row>
    <row r="9">
      <c r="A9" s="2" t="n"/>
      <c r="B9" s="2" t="n"/>
      <c r="C9" s="2" t="n"/>
      <c r="D9" s="2" t="n"/>
      <c r="E9" s="2">
        <f>IF(COUNT(C9:D9)=2,D9-C9,"")</f>
        <v/>
      </c>
    </row>
    <row r="10">
      <c r="A10" s="2" t="n"/>
      <c r="B10" s="2" t="n"/>
      <c r="C10" s="2" t="n"/>
      <c r="D10" s="2" t="n"/>
      <c r="E10" s="2">
        <f>IF(COUNT(C10:D10)=2,D10-C10,"")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</cols>
  <sheetData>
    <row r="1">
      <c r="A1" s="5" t="inlineStr">
        <is>
          <t>run_key</t>
        </is>
      </c>
      <c r="B1" s="5" t="inlineStr">
        <is>
          <t>configuration</t>
        </is>
      </c>
      <c r="C1" s="5" t="inlineStr">
        <is>
          <t>region</t>
        </is>
      </c>
      <c r="D1" s="5" t="inlineStr">
        <is>
          <t>slots</t>
        </is>
      </c>
      <c r="E1" s="5" t="inlineStr">
        <is>
          <t>support</t>
        </is>
      </c>
      <c r="F1" s="5" t="inlineStr">
        <is>
          <t>labels</t>
        </is>
      </c>
      <c r="G1" s="5" t="inlineStr">
        <is>
          <t>tables</t>
        </is>
      </c>
      <c r="H1" s="5" t="inlineStr">
        <is>
          <t>stage</t>
        </is>
      </c>
      <c r="I1" s="5" t="inlineStr">
        <is>
          <t>seed</t>
        </is>
      </c>
      <c r="J1" s="5" t="inlineStr">
        <is>
          <t>checkpoint</t>
        </is>
      </c>
      <c r="K1" s="5" t="inlineStr">
        <is>
          <t>result_json</t>
        </is>
      </c>
      <c r="L1" s="5" t="inlineStr">
        <is>
          <t>frontend_sha256</t>
        </is>
      </c>
      <c r="M1" s="5" t="inlineStr">
        <is>
          <t>q_sha256</t>
        </is>
      </c>
      <c r="N1" s="5" t="inlineStr">
        <is>
          <t>bank_sha256</t>
        </is>
      </c>
      <c r="O1" s="5" t="inlineStr">
        <is>
          <t>status</t>
        </is>
      </c>
    </row>
    <row r="2">
      <c r="A2" s="2" t="inlineStr">
        <is>
          <t>pixel_frozen</t>
        </is>
      </c>
      <c r="B2" s="2" t="inlineStr">
        <is>
          <t>冻结像素前端参考</t>
        </is>
      </c>
      <c r="C2" s="2" t="inlineStr">
        <is>
          <t>无区域汇总</t>
        </is>
      </c>
      <c r="D2" s="2" t="inlineStr">
        <is>
          <t>无</t>
        </is>
      </c>
      <c r="E2" s="2" t="inlineStr">
        <is>
          <t>无</t>
        </is>
      </c>
      <c r="F2" s="2" t="inlineStr">
        <is>
          <t>无支持输入</t>
        </is>
      </c>
      <c r="G2" s="2" t="inlineStr">
        <is>
          <t>1;2;5;6</t>
        </is>
      </c>
      <c r="H2" s="2" t="inlineStr">
        <is>
          <t>冻结推理参考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待运行/待核对</t>
        </is>
      </c>
    </row>
    <row r="3">
      <c r="A3" s="2" t="inlineStr">
        <is>
          <t>pixel_adapt</t>
        </is>
      </c>
      <c r="B3" s="2" t="inlineStr">
        <is>
          <t>同预算像素分类头</t>
        </is>
      </c>
      <c r="C3" s="2" t="inlineStr">
        <is>
          <t>无区域汇总</t>
        </is>
      </c>
      <c r="D3" s="2" t="inlineStr">
        <is>
          <t>无</t>
        </is>
      </c>
      <c r="E3" s="2" t="inlineStr">
        <is>
          <t>无</t>
        </is>
      </c>
      <c r="F3" s="2" t="inlineStr">
        <is>
          <t>无支持输入</t>
        </is>
      </c>
      <c r="G3" s="2" t="inlineStr">
        <is>
          <t>2;5;6</t>
        </is>
      </c>
      <c r="H3" s="2" t="inlineStr">
        <is>
          <t>训练参考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待运行/待核对</t>
        </is>
      </c>
    </row>
    <row r="4">
      <c r="A4" s="2" t="inlineStr">
        <is>
          <t>grid_single_local</t>
        </is>
      </c>
      <c r="B4" s="2" t="inlineStr">
        <is>
          <t>规则网格＋单槽＋图内参考</t>
        </is>
      </c>
      <c r="C4" s="2" t="inlineStr">
        <is>
          <t>规则网格</t>
        </is>
      </c>
      <c r="D4" s="2" t="inlineStr">
        <is>
          <t>单槽</t>
        </is>
      </c>
      <c r="E4" s="2" t="inlineStr">
        <is>
          <t>图内参考</t>
        </is>
      </c>
      <c r="F4" s="2" t="inlineStr">
        <is>
          <t>同次预测软标签</t>
        </is>
      </c>
      <c r="G4" s="2" t="inlineStr">
        <is>
          <t>2</t>
        </is>
      </c>
      <c r="H4" s="2" t="inlineStr">
        <is>
          <t>区域与槽核心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待运行/待核对</t>
        </is>
      </c>
    </row>
    <row r="5">
      <c r="A5" s="2" t="inlineStr">
        <is>
          <t>grid_spatial_local</t>
        </is>
      </c>
      <c r="B5" s="2" t="inlineStr">
        <is>
          <t>规则网格＋固定空间双槽＋图内参考</t>
        </is>
      </c>
      <c r="C5" s="2" t="inlineStr">
        <is>
          <t>规则网格</t>
        </is>
      </c>
      <c r="D5" s="2" t="inlineStr">
        <is>
          <t>固定空间双槽</t>
        </is>
      </c>
      <c r="E5" s="2" t="inlineStr">
        <is>
          <t>图内参考</t>
        </is>
      </c>
      <c r="F5" s="2" t="inlineStr">
        <is>
          <t>同次预测软标签</t>
        </is>
      </c>
      <c r="G5" s="2" t="inlineStr">
        <is>
          <t>2</t>
        </is>
      </c>
      <c r="H5" s="2" t="inlineStr">
        <is>
          <t>区域与槽核心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待运行/待核对</t>
        </is>
      </c>
    </row>
    <row r="6">
      <c r="A6" s="2" t="inlineStr">
        <is>
          <t>grid_soft_local</t>
        </is>
      </c>
      <c r="B6" s="2" t="inlineStr">
        <is>
          <t>规则网格＋建筑soft双槽＋图内参考</t>
        </is>
      </c>
      <c r="C6" s="2" t="inlineStr">
        <is>
          <t>规则网格</t>
        </is>
      </c>
      <c r="D6" s="2" t="inlineStr">
        <is>
          <t>建筑soft双槽</t>
        </is>
      </c>
      <c r="E6" s="2" t="inlineStr">
        <is>
          <t>图内参考</t>
        </is>
      </c>
      <c r="F6" s="2" t="inlineStr">
        <is>
          <t>同次预测软标签</t>
        </is>
      </c>
      <c r="G6" s="2" t="inlineStr">
        <is>
          <t>2</t>
        </is>
      </c>
      <c r="H6" s="2" t="inlineStr">
        <is>
          <t>区域与槽核心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待运行/待核对</t>
        </is>
      </c>
    </row>
    <row r="7">
      <c r="A7" s="2" t="inlineStr">
        <is>
          <t>q_single_local</t>
        </is>
      </c>
      <c r="B7" s="2" t="inlineStr">
        <is>
          <t>学习Q＋单槽＋图内参考</t>
        </is>
      </c>
      <c r="C7" s="2" t="inlineStr">
        <is>
          <t>学习Q</t>
        </is>
      </c>
      <c r="D7" s="2" t="inlineStr">
        <is>
          <t>单槽</t>
        </is>
      </c>
      <c r="E7" s="2" t="inlineStr">
        <is>
          <t>图内参考</t>
        </is>
      </c>
      <c r="F7" s="2" t="inlineStr">
        <is>
          <t>同次预测软标签</t>
        </is>
      </c>
      <c r="G7" s="2" t="inlineStr">
        <is>
          <t>2;3;5;6</t>
        </is>
      </c>
      <c r="H7" s="2" t="inlineStr">
        <is>
          <t>区域与槽核心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待运行/待核对</t>
        </is>
      </c>
    </row>
    <row r="8">
      <c r="A8" s="2" t="inlineStr">
        <is>
          <t>q_spatial_local</t>
        </is>
      </c>
      <c r="B8" s="2" t="inlineStr">
        <is>
          <t>学习Q＋固定空间双槽＋图内参考</t>
        </is>
      </c>
      <c r="C8" s="2" t="inlineStr">
        <is>
          <t>学习Q</t>
        </is>
      </c>
      <c r="D8" s="2" t="inlineStr">
        <is>
          <t>固定空间双槽</t>
        </is>
      </c>
      <c r="E8" s="2" t="inlineStr">
        <is>
          <t>图内参考</t>
        </is>
      </c>
      <c r="F8" s="2" t="inlineStr">
        <is>
          <t>同次预测软标签</t>
        </is>
      </c>
      <c r="G8" s="2" t="inlineStr">
        <is>
          <t>2;3</t>
        </is>
      </c>
      <c r="H8" s="2" t="inlineStr">
        <is>
          <t>区域与槽核心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待运行/待核对</t>
        </is>
      </c>
    </row>
    <row r="9">
      <c r="A9" s="2" t="inlineStr">
        <is>
          <t>q_soft_local</t>
        </is>
      </c>
      <c r="B9" s="2" t="inlineStr">
        <is>
          <t>学习Q＋建筑soft双槽＋图内参考</t>
        </is>
      </c>
      <c r="C9" s="2" t="inlineStr">
        <is>
          <t>学习Q</t>
        </is>
      </c>
      <c r="D9" s="2" t="inlineStr">
        <is>
          <t>建筑soft双槽</t>
        </is>
      </c>
      <c r="E9" s="2" t="inlineStr">
        <is>
          <t>图内参考</t>
        </is>
      </c>
      <c r="F9" s="2" t="inlineStr">
        <is>
          <t>同次预测软标签</t>
        </is>
      </c>
      <c r="G9" s="2" t="inlineStr">
        <is>
          <t>2;3;4;5;6</t>
        </is>
      </c>
      <c r="H9" s="2" t="inlineStr">
        <is>
          <t>区域与槽核心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待运行/待核对</t>
        </is>
      </c>
    </row>
    <row r="10">
      <c r="A10" s="2" t="inlineStr">
        <is>
          <t>q_single_capacity_local</t>
        </is>
      </c>
      <c r="B10" s="2" t="inlineStr">
        <is>
          <t>学习Q＋容量匹配单槽＋图内参考</t>
        </is>
      </c>
      <c r="C10" s="2" t="inlineStr">
        <is>
          <t>学习Q</t>
        </is>
      </c>
      <c r="D10" s="2" t="inlineStr">
        <is>
          <t>容量匹配单槽</t>
        </is>
      </c>
      <c r="E10" s="2" t="inlineStr">
        <is>
          <t>图内参考</t>
        </is>
      </c>
      <c r="F10" s="2" t="inlineStr">
        <is>
          <t>同次预测软标签</t>
        </is>
      </c>
      <c r="G10" s="2" t="inlineStr">
        <is>
          <t>2</t>
        </is>
      </c>
      <c r="H10" s="2" t="inlineStr">
        <is>
          <t>容量控制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待运行/待核对</t>
        </is>
      </c>
    </row>
    <row r="11">
      <c r="A11" s="2" t="inlineStr">
        <is>
          <t>q_single_train</t>
        </is>
      </c>
      <c r="B11" s="2" t="inlineStr">
        <is>
          <t>学习Q＋单槽＋Train历史支持</t>
        </is>
      </c>
      <c r="C11" s="2" t="inlineStr">
        <is>
          <t>学习Q</t>
        </is>
      </c>
      <c r="D11" s="2" t="inlineStr">
        <is>
          <t>单槽</t>
        </is>
      </c>
      <c r="E11" s="2" t="inlineStr">
        <is>
          <t>检索Train支持</t>
        </is>
      </c>
      <c r="F11" s="2" t="inlineStr">
        <is>
          <t>Train真值软标签</t>
        </is>
      </c>
      <c r="G11" s="2" t="inlineStr">
        <is>
          <t>3;5;6</t>
        </is>
      </c>
      <c r="H11" s="2" t="inlineStr">
        <is>
          <t>历史支持核心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待运行/待核对</t>
        </is>
      </c>
    </row>
    <row r="12">
      <c r="A12" s="2" t="inlineStr">
        <is>
          <t>q_spatial_train</t>
        </is>
      </c>
      <c r="B12" s="2" t="inlineStr">
        <is>
          <t>学习Q＋固定空间双槽＋Train历史支持</t>
        </is>
      </c>
      <c r="C12" s="2" t="inlineStr">
        <is>
          <t>学习Q</t>
        </is>
      </c>
      <c r="D12" s="2" t="inlineStr">
        <is>
          <t>固定空间双槽</t>
        </is>
      </c>
      <c r="E12" s="2" t="inlineStr">
        <is>
          <t>检索Train支持</t>
        </is>
      </c>
      <c r="F12" s="2" t="inlineStr">
        <is>
          <t>Train真值软标签</t>
        </is>
      </c>
      <c r="G12" s="2" t="inlineStr">
        <is>
          <t>3</t>
        </is>
      </c>
      <c r="H12" s="2" t="inlineStr">
        <is>
          <t>历史支持核心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待运行/待核对</t>
        </is>
      </c>
    </row>
    <row r="13">
      <c r="A13" s="2" t="inlineStr">
        <is>
          <t>q_soft_train</t>
        </is>
      </c>
      <c r="B13" s="2" t="inlineStr">
        <is>
          <t>学习Q＋建筑soft双槽＋Train历史支持</t>
        </is>
      </c>
      <c r="C13" s="2" t="inlineStr">
        <is>
          <t>学习Q</t>
        </is>
      </c>
      <c r="D13" s="2" t="inlineStr">
        <is>
          <t>建筑soft双槽</t>
        </is>
      </c>
      <c r="E13" s="2" t="inlineStr">
        <is>
          <t>检索Train支持</t>
        </is>
      </c>
      <c r="F13" s="2" t="inlineStr">
        <is>
          <t>Train真值软标签</t>
        </is>
      </c>
      <c r="G13" s="2" t="inlineStr">
        <is>
          <t>1;3;4;5;6</t>
        </is>
      </c>
      <c r="H13" s="2" t="inlineStr">
        <is>
          <t>历史支持核心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待运行/待核对</t>
        </is>
      </c>
    </row>
    <row r="14">
      <c r="A14" s="2" t="inlineStr">
        <is>
          <t>q_soft_parametric</t>
        </is>
      </c>
      <c r="B14" s="2" t="inlineStr">
        <is>
          <t>学习Q＋soft双槽＋同容量参数化支持</t>
        </is>
      </c>
      <c r="C14" s="2" t="inlineStr">
        <is>
          <t>学习Q</t>
        </is>
      </c>
      <c r="D14" s="2" t="inlineStr">
        <is>
          <t>建筑soft双槽</t>
        </is>
      </c>
      <c r="E14" s="2" t="inlineStr">
        <is>
          <t>可学习向量</t>
        </is>
      </c>
      <c r="F14" s="2" t="inlineStr">
        <is>
          <t>明确实现</t>
        </is>
      </c>
      <c r="G14" s="2" t="inlineStr">
        <is>
          <t>4</t>
        </is>
      </c>
      <c r="H14" s="2" t="inlineStr">
        <is>
          <t>案例机制控制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待运行/待核对</t>
        </is>
      </c>
    </row>
    <row r="15">
      <c r="A15" s="2" t="inlineStr">
        <is>
          <t>q_soft_random_train</t>
        </is>
      </c>
      <c r="B15" s="2" t="inlineStr">
        <is>
          <t>学习Q＋soft双槽＋随机合法Train支持</t>
        </is>
      </c>
      <c r="C15" s="2" t="inlineStr">
        <is>
          <t>学习Q</t>
        </is>
      </c>
      <c r="D15" s="2" t="inlineStr">
        <is>
          <t>建筑soft双槽</t>
        </is>
      </c>
      <c r="E15" s="2" t="inlineStr">
        <is>
          <t>随机Train</t>
        </is>
      </c>
      <c r="F15" s="2" t="inlineStr">
        <is>
          <t>Train真值软标签</t>
        </is>
      </c>
      <c r="G15" s="2" t="inlineStr">
        <is>
          <t>4</t>
        </is>
      </c>
      <c r="H15" s="2" t="inlineStr">
        <is>
          <t>案例机制控制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待运行/待核对</t>
        </is>
      </c>
    </row>
    <row r="16">
      <c r="A16" s="2" t="inlineStr">
        <is>
          <t>q_soft_no_label_train</t>
        </is>
      </c>
      <c r="B16" s="2" t="inlineStr">
        <is>
          <t>学习Q＋soft双槽＋固定案例去标签</t>
        </is>
      </c>
      <c r="C16" s="2" t="inlineStr">
        <is>
          <t>学习Q</t>
        </is>
      </c>
      <c r="D16" s="2" t="inlineStr">
        <is>
          <t>建筑soft双槽</t>
        </is>
      </c>
      <c r="E16" s="2" t="inlineStr">
        <is>
          <t>检索Train</t>
        </is>
      </c>
      <c r="F16" s="2" t="inlineStr">
        <is>
          <t>移除标签通道</t>
        </is>
      </c>
      <c r="G16" s="2" t="inlineStr">
        <is>
          <t>4</t>
        </is>
      </c>
      <c r="H16" s="2" t="inlineStr">
        <is>
          <t>案例机制控制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待运行/待核对</t>
        </is>
      </c>
    </row>
    <row r="17">
      <c r="A17" s="2" t="inlineStr">
        <is>
          <t>q_soft_pred_label_train</t>
        </is>
      </c>
      <c r="B17" s="2" t="inlineStr">
        <is>
          <t>学习Q＋soft双槽＋固定案例用预测标签</t>
        </is>
      </c>
      <c r="C17" s="2" t="inlineStr">
        <is>
          <t>学习Q</t>
        </is>
      </c>
      <c r="D17" s="2" t="inlineStr">
        <is>
          <t>建筑soft双槽</t>
        </is>
      </c>
      <c r="E17" s="2" t="inlineStr">
        <is>
          <t>检索Train</t>
        </is>
      </c>
      <c r="F17" s="2" t="inlineStr">
        <is>
          <t>同源模型预测标签</t>
        </is>
      </c>
      <c r="G17" s="2" t="inlineStr">
        <is>
          <t>4</t>
        </is>
      </c>
      <c r="H17" s="2" t="inlineStr">
        <is>
          <t>案例机制控制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待运行/待核对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9" customWidth="1" min="2" max="2"/>
  </cols>
  <sheetData>
    <row r="1">
      <c r="A1" s="5" t="inlineStr">
        <is>
          <t>字段</t>
        </is>
      </c>
      <c r="B1" s="5" t="inlineStr">
        <is>
          <t>待填写/固定规则</t>
        </is>
      </c>
    </row>
    <row r="2">
      <c r="A2" s="2" t="inlineStr">
        <is>
          <t>主表划分</t>
        </is>
      </c>
      <c r="B2" s="2" t="inlineStr">
        <is>
          <t>Test，明确名单SHA</t>
        </is>
      </c>
    </row>
    <row r="3">
      <c r="A3" s="2" t="inlineStr">
        <is>
          <t>机制表划分</t>
        </is>
      </c>
      <c r="B3" s="2" t="inlineStr">
        <is>
          <t>Val，所有组相同名单</t>
        </is>
      </c>
    </row>
    <row r="4">
      <c r="A4" s="2" t="inlineStr">
        <is>
          <t>主表主指标</t>
        </is>
      </c>
      <c r="B4" s="2" t="inlineStr">
        <is>
          <t>四类mIoU；类别顺序背景/完好/受损/毁坏</t>
        </is>
      </c>
    </row>
    <row r="5">
      <c r="A5" s="2" t="inlineStr">
        <is>
          <t>机制主指标</t>
        </is>
      </c>
      <c r="B5" s="2" t="inlineStr">
        <is>
          <t>前景三类mIoU；保留完整混淆矩阵</t>
        </is>
      </c>
    </row>
    <row r="6">
      <c r="A6" s="2" t="inlineStr">
        <is>
          <t>种子ID</t>
        </is>
      </c>
      <c r="B6" s="2" t="inlineStr">
        <is>
          <t>待填，至少3个匹配种子用于关键配置</t>
        </is>
      </c>
    </row>
    <row r="7">
      <c r="A7" s="2" t="inlineStr">
        <is>
          <t>选择检查点</t>
        </is>
      </c>
      <c r="B7" s="2" t="inlineStr">
        <is>
          <t>待填；仅依据Val；最佳与末步分别登记</t>
        </is>
      </c>
    </row>
    <row r="8">
      <c r="A8" s="2" t="inlineStr">
        <is>
          <t>父Top-K</t>
        </is>
      </c>
      <c r="B8" s="2" t="inlineStr">
        <is>
          <t>待填；表示案例数量，不是槽数量</t>
        </is>
      </c>
    </row>
    <row r="9">
      <c r="A9" s="2" t="inlineStr">
        <is>
          <t>区域数/输出分辨率</t>
        </is>
      </c>
      <c r="B9" s="2" t="inlineStr">
        <is>
          <t>待填</t>
        </is>
      </c>
    </row>
    <row r="10">
      <c r="A10" s="2" t="inlineStr">
        <is>
          <t>冻结前端/Q/库</t>
        </is>
      </c>
      <c r="B10" s="2" t="inlineStr">
        <is>
          <t>逐项登记SHA与参数/buffer状态</t>
        </is>
      </c>
    </row>
    <row r="11">
      <c r="A11" s="2" t="inlineStr">
        <is>
          <t>损失/学习率调度</t>
        </is>
      </c>
      <c r="B11" s="2" t="inlineStr">
        <is>
          <t>待填；相同更新步数须匹配调度计划</t>
        </is>
      </c>
    </row>
    <row r="12">
      <c r="A12" s="2" t="inlineStr">
        <is>
          <t>空间双槽规则</t>
        </is>
      </c>
      <c r="B12" s="2" t="inlineStr">
        <is>
          <t>待填；训练前固定</t>
        </is>
      </c>
    </row>
    <row r="13">
      <c r="A13" s="2" t="inlineStr">
        <is>
          <t>排除规则</t>
        </is>
      </c>
      <c r="B13" s="2" t="inlineStr">
        <is>
          <t>同图像/同事件；随机和检索一致</t>
        </is>
      </c>
    </row>
    <row r="14">
      <c r="A14" s="2" t="inlineStr">
        <is>
          <t>混合度</t>
        </is>
      </c>
      <c r="B14" s="2" t="inlineStr">
        <is>
          <t>质量加权4b(1-b)，GT前景占比事后计算</t>
        </is>
      </c>
    </row>
    <row r="15">
      <c r="A15" s="2" t="inlineStr">
        <is>
          <t>边缘错率</t>
        </is>
      </c>
      <c r="B15" s="2" t="inlineStr">
        <is>
          <t>GT建筑二值边缘的预定固定带；半径/分辨率待填</t>
        </is>
      </c>
    </row>
    <row r="16">
      <c r="A16" s="2" t="inlineStr">
        <is>
          <t>计时硬件/线程</t>
        </is>
      </c>
      <c r="B16" s="2" t="inlineStr">
        <is>
          <t>待填</t>
        </is>
      </c>
    </row>
    <row r="17">
      <c r="A17" s="2" t="inlineStr">
        <is>
          <t>精度/batch/输入尺寸</t>
        </is>
      </c>
      <c r="B17" s="2" t="inlineStr">
        <is>
          <t>待填</t>
        </is>
      </c>
    </row>
    <row r="18">
      <c r="A18" s="2" t="inlineStr">
        <is>
          <t>预热/重复/同步</t>
        </is>
      </c>
      <c r="B18" s="2" t="inlineStr">
        <is>
          <t>待填</t>
        </is>
      </c>
    </row>
    <row r="19">
      <c r="A19" s="2" t="inlineStr">
        <is>
          <t>计时包含I/O范围</t>
        </is>
      </c>
      <c r="B19" s="2" t="inlineStr">
        <is>
          <t>待填</t>
        </is>
      </c>
    </row>
    <row r="20">
      <c r="A20" s="2" t="inlineStr">
        <is>
          <t>表4干预类型</t>
        </is>
      </c>
      <c r="B20" s="2" t="inlineStr">
        <is>
          <t>重训与固定权重分开</t>
        </is>
      </c>
    </row>
    <row r="21">
      <c r="A21" s="2" t="inlineStr">
        <is>
          <t>数值单位</t>
        </is>
      </c>
      <c r="B21" s="2" t="inlineStr">
        <is>
          <t>百分数栏输入百分数数值，非0—1比例；差值单位为百分点</t>
        </is>
      </c>
    </row>
    <row r="22">
      <c r="A22" s="2" t="inlineStr">
        <is>
          <t>数据缺失</t>
        </is>
      </c>
      <c r="B22" s="2" t="inlineStr">
        <is>
          <t>Word用—；Excel实测单元格留空，禁止填0代替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2026-10-17T15:36:17Z</dcterms:created>
  <dcterms:modified xmlns:dcterms="http://purl.org/dc/terms/" xmlns:xsi="http://www.w3.org/2001/XMLSchema-instance" xsi:type="dcterms:W3CDTF">2026-10-17T15:36:17Z</dcterms:modified>
</cp:coreProperties>
</file>